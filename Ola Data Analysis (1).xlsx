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ng Form" sheetId="1" r:id="rId5"/>
    <sheet state="visible" name="Ola Share Column" sheetId="2" r:id="rId6"/>
    <sheet state="visible" name="Dashboard" sheetId="3" r:id="rId7"/>
  </sheets>
  <definedNames/>
  <calcPr/>
</workbook>
</file>

<file path=xl/sharedStrings.xml><?xml version="1.0" encoding="utf-8"?>
<sst xmlns="http://schemas.openxmlformats.org/spreadsheetml/2006/main" count="167" uniqueCount="36">
  <si>
    <t xml:space="preserve">Month </t>
  </si>
  <si>
    <t>Year</t>
  </si>
  <si>
    <t>Maker</t>
  </si>
  <si>
    <t>Registrations</t>
  </si>
  <si>
    <t>State</t>
  </si>
  <si>
    <t xml:space="preserve">Market Growth% </t>
  </si>
  <si>
    <t>Market Share %</t>
  </si>
  <si>
    <t>Previous Month sale</t>
  </si>
  <si>
    <t>Month-Year</t>
  </si>
  <si>
    <t>April</t>
  </si>
  <si>
    <t>Arther</t>
  </si>
  <si>
    <t xml:space="preserve">All India </t>
  </si>
  <si>
    <t xml:space="preserve">May 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</si>
  <si>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</si>
  <si>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</si>
  <si>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</si>
  <si>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</si>
  <si>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</si>
  <si>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</si>
  <si>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</si>
  <si>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</si>
  <si>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Febuary</t>
  </si>
  <si>
    <t>March</t>
  </si>
  <si>
    <t>Bajaj</t>
  </si>
  <si>
    <t>May</t>
  </si>
  <si>
    <t>Ola Electric</t>
  </si>
  <si>
    <t>Tvs</t>
  </si>
  <si>
    <t>Ather</t>
  </si>
  <si>
    <t>Grand Total</t>
  </si>
  <si>
    <t>Ola Share %</t>
  </si>
  <si>
    <t>Ola Growth %</t>
  </si>
  <si>
    <t>Ola Rank</t>
  </si>
  <si>
    <t>EV Market Analysis Dashboard</t>
  </si>
  <si>
    <t>Avg Ola Share</t>
  </si>
  <si>
    <t>Total Ola Sales</t>
  </si>
  <si>
    <t>Max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</si>
</sst>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0.00\%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29.0"/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2" xfId="0" applyAlignment="1" applyFont="1" applyNumberFormat="1">
      <alignment shrinkToFit="0" vertical="center" wrapText="0"/>
    </xf>
    <xf borderId="0" fillId="0" fontId="2" numFmtId="2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2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vertical="top"/>
    </xf>
    <xf borderId="1" fillId="0" fontId="4" numFmtId="0" xfId="0" applyAlignment="1" applyBorder="1" applyFont="1">
      <alignment readingOrder="0"/>
    </xf>
    <xf borderId="1" fillId="0" fontId="2" numFmtId="166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1" numFmtId="166" xfId="0" applyAlignment="1" applyBorder="1" applyFont="1" applyNumberFormat="1">
      <alignment horizontal="center"/>
    </xf>
    <xf borderId="0" fillId="0" fontId="1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2">
    <tableStyle count="4" pivot="0" name="Long For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la Share Colum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Ola vs Competitors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'Ola Share Column'!$B$1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'Ola Share Column'!$A$2:$A$13</c:f>
            </c:strRef>
          </c:cat>
          <c:val>
            <c:numRef>
              <c:f>'Ola Share Column'!$B$2:$B$13</c:f>
              <c:numCache/>
            </c:numRef>
          </c:val>
          <c:smooth val="0"/>
        </c:ser>
        <c:ser>
          <c:idx val="1"/>
          <c:order val="1"/>
          <c:tx>
            <c:strRef>
              <c:f>'Ola Share Column'!$C$1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'Ola Share Column'!$A$2:$A$13</c:f>
            </c:strRef>
          </c:cat>
          <c:val>
            <c:numRef>
              <c:f>'Ola Share Column'!$C$2:$C$13</c:f>
              <c:numCache/>
            </c:numRef>
          </c:val>
          <c:smooth val="0"/>
        </c:ser>
        <c:ser>
          <c:idx val="2"/>
          <c:order val="2"/>
          <c:tx>
            <c:strRef>
              <c:f>'Ola Share Column'!$D$1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'Ola Share Column'!$A$2:$A$13</c:f>
            </c:strRef>
          </c:cat>
          <c:val>
            <c:numRef>
              <c:f>'Ola Share Column'!$D$2:$D$13</c:f>
              <c:numCache/>
            </c:numRef>
          </c:val>
          <c:smooth val="0"/>
        </c:ser>
        <c:ser>
          <c:idx val="3"/>
          <c:order val="3"/>
          <c:tx>
            <c:strRef>
              <c:f>'Ola Share Column'!$E$1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'Ola Share Column'!$A$2:$A$13</c:f>
            </c:strRef>
          </c:cat>
          <c:val>
            <c:numRef>
              <c:f>'Ola Share Column'!$E$2:$E$13</c:f>
              <c:numCache/>
            </c:numRef>
          </c:val>
          <c:smooth val="0"/>
        </c:ser>
        <c:axId val="898432427"/>
        <c:axId val="2048669642"/>
      </c:lineChart>
      <c:catAx>
        <c:axId val="898432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Month-Year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8669642"/>
      </c:catAx>
      <c:valAx>
        <c:axId val="2048669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843242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Declining Market Share of Ola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'Ola Share Column'!$G$1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'Ola Share Column'!$A$2:$A$13</c:f>
            </c:strRef>
          </c:cat>
          <c:val>
            <c:numRef>
              <c:f>'Ola Share Column'!$G$2:$G$13</c:f>
              <c:numCache/>
            </c:numRef>
          </c:val>
          <c:smooth val="0"/>
        </c:ser>
        <c:axId val="2109750822"/>
        <c:axId val="766845106"/>
      </c:lineChart>
      <c:catAx>
        <c:axId val="2109750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6845106"/>
      </c:catAx>
      <c:valAx>
        <c:axId val="766845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97508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Ola Monthly Growth Volatility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'Ola Share Column'!$H$1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'Ola Share Column'!$A$2:$A$13</c:f>
            </c:strRef>
          </c:cat>
          <c:val>
            <c:numRef>
              <c:f>'Ola Share Column'!$H$2:$H$13</c:f>
              <c:numCache/>
            </c:numRef>
          </c:val>
          <c:smooth val="0"/>
        </c:ser>
        <c:axId val="36302729"/>
        <c:axId val="1871195745"/>
      </c:lineChart>
      <c:catAx>
        <c:axId val="363027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1195745"/>
      </c:catAx>
      <c:valAx>
        <c:axId val="1871195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3027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66675</xdr:rowOff>
    </xdr:from>
    <xdr:ext cx="10306050" cy="4095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314325</xdr:colOff>
      <xdr:row>23</xdr:row>
      <xdr:rowOff>142875</xdr:rowOff>
    </xdr:from>
    <xdr:ext cx="4238625" cy="25717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142875</xdr:rowOff>
    </xdr:from>
    <xdr:ext cx="4200525" cy="26384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57150</xdr:colOff>
      <xdr:row>23</xdr:row>
      <xdr:rowOff>142875</xdr:rowOff>
    </xdr:from>
    <xdr:ext cx="5781675" cy="1285875"/>
    <xdr:sp>
      <xdr:nvSpPr>
        <xdr:cNvPr id="3" name="Shape 3"/>
        <xdr:cNvSpPr txBox="1"/>
      </xdr:nvSpPr>
      <xdr:spPr>
        <a:xfrm>
          <a:off x="2351675" y="480350"/>
          <a:ext cx="5764200" cy="1262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Key Insights:</a:t>
          </a:r>
          <a:endParaRPr b="1"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●"/>
          </a:pPr>
          <a:r>
            <a:rPr b="1" lang="en-US" sz="1400"/>
            <a:t>Market share dropped sharply ~27% to ~7%</a:t>
          </a:r>
          <a:endParaRPr b="1"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●"/>
          </a:pPr>
          <a:r>
            <a:rPr b="1" lang="en-US" sz="1400"/>
            <a:t>Sales trend is inconsistent vs competitors</a:t>
          </a:r>
          <a:endParaRPr b="1"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●"/>
          </a:pPr>
          <a:r>
            <a:rPr b="1" lang="en-US" sz="1400"/>
            <a:t>High growth volatility indicates unstable demand</a:t>
          </a:r>
          <a:endParaRPr b="1"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●"/>
          </a:pPr>
          <a:r>
            <a:rPr b="1" lang="en-US" sz="1400"/>
            <a:t>TVS and Bajaj are gaining dominance</a:t>
          </a:r>
          <a:endParaRPr b="1" sz="1400"/>
        </a:p>
      </xdr:txBody>
    </xdr:sp>
    <xdr:clientData fLocksWithSheet="0"/>
  </xdr:oneCellAnchor>
  <xdr:oneCellAnchor>
    <xdr:from>
      <xdr:col>0</xdr:col>
      <xdr:colOff>0</xdr:colOff>
      <xdr:row>0</xdr:row>
      <xdr:rowOff>581025</xdr:rowOff>
    </xdr:from>
    <xdr:ext cx="8801100" cy="1143000"/>
    <xdr:sp>
      <xdr:nvSpPr>
        <xdr:cNvPr id="4" name="Shape 4"/>
        <xdr:cNvSpPr txBox="1"/>
      </xdr:nvSpPr>
      <xdr:spPr>
        <a:xfrm>
          <a:off x="1280900" y="540375"/>
          <a:ext cx="8286000" cy="11508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“Ola is Losing market share due to inconsistent growth while competitors gain stability”</a:t>
          </a:r>
          <a:endParaRPr b="1"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49" displayName="Table1" name="Table1" id="1">
  <tableColumns count="9">
    <tableColumn name="Month " id="1"/>
    <tableColumn name="Year" id="2"/>
    <tableColumn name="Maker" id="3"/>
    <tableColumn name="Registrations" id="4"/>
    <tableColumn name="State" id="5"/>
    <tableColumn name="Market Growth% " id="6"/>
    <tableColumn name="Market Share %" id="7"/>
    <tableColumn name="Previous Month sale" id="8"/>
    <tableColumn name="Month-Year" id="9"/>
  </tableColumns>
  <tableStyleInfo name="Long Form-style" showColumnStripes="0" showFirstColumn="1" showLastColumn="1" showRowStripes="1"/>
</table>
</file>

<file path=xl/tables/table2.xml><?xml version="1.0" encoding="utf-8"?>
<table xmlns="http://schemas.openxmlformats.org/spreadsheetml/2006/main" ref="A1:I14" displayName="Table2" name="Table2" id="2">
  <tableColumns count="9">
    <tableColumn name="Month-Year" id="1"/>
    <tableColumn name="Ather" id="2"/>
    <tableColumn name="Bajaj" id="3"/>
    <tableColumn name="Ola Electric" id="4"/>
    <tableColumn name="Tvs" id="5"/>
    <tableColumn name="Grand Total" id="6"/>
    <tableColumn name="Ola Share %" id="7"/>
    <tableColumn name="Ola Growth %" id="8"/>
    <tableColumn name="Ola Rank" id="9"/>
  </tableColumns>
  <tableStyleInfo name="Ola Share Colum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3" max="3" width="15.13"/>
    <col customWidth="1" min="4" max="4" width="15.5"/>
    <col customWidth="1" min="6" max="6" width="17.88"/>
    <col customWidth="1" min="7" max="7" width="17.25"/>
    <col customWidth="1" min="8" max="8" width="21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22.5" customHeight="1">
      <c r="A2" s="3" t="s">
        <v>9</v>
      </c>
      <c r="B2" s="4">
        <v>2025.0</v>
      </c>
      <c r="C2" s="3" t="s">
        <v>10</v>
      </c>
      <c r="D2" s="5">
        <v>13167.0</v>
      </c>
      <c r="E2" s="5" t="s">
        <v>11</v>
      </c>
      <c r="F2" s="6" t="str">
        <f t="shared" ref="F2:F49" si="1">IF(H2="","",(D2-H2)/H2*100)</f>
        <v/>
      </c>
      <c r="G2" s="7">
        <f>D2/ SUMIFS($D:$D,$A:$A, A2,$B:$B,B2)*100</f>
        <v>18.38658325</v>
      </c>
      <c r="H2" s="8" t="str">
        <f t="shared" ref="H2:H49" si="2">IF(C2=C1, D1,"")</f>
        <v/>
      </c>
      <c r="I2" s="9">
        <f t="array" ref="I2">DATE(B2, MATCH(A2, {"January","Febuary","March","April","May","June","July","August","September","October","November","December"},0),1)</f>
        <v>45748</v>
      </c>
    </row>
    <row r="3" ht="22.5" customHeight="1">
      <c r="A3" s="3" t="s">
        <v>12</v>
      </c>
      <c r="B3" s="4">
        <v>2025.0</v>
      </c>
      <c r="C3" s="3" t="s">
        <v>10</v>
      </c>
      <c r="D3" s="5">
        <v>12856.0</v>
      </c>
      <c r="E3" s="5" t="s">
        <v>11</v>
      </c>
      <c r="F3" s="6">
        <f t="shared" si="1"/>
        <v>-2.36196552</v>
      </c>
      <c r="G3" s="7">
        <f>D2/ SUMIFS($D:$D,$A:$A, A2,$B:$B,B2)*100</f>
        <v>18.38658325</v>
      </c>
      <c r="H3" s="8">
        <f t="shared" si="2"/>
        <v>13167</v>
      </c>
      <c r="I3" s="10">
        <v>45778.0</v>
      </c>
    </row>
    <row r="4" ht="22.5" customHeight="1">
      <c r="A4" s="3" t="s">
        <v>13</v>
      </c>
      <c r="B4" s="4">
        <v>2025.0</v>
      </c>
      <c r="C4" s="3" t="s">
        <v>10</v>
      </c>
      <c r="D4" s="5">
        <v>14512.0</v>
      </c>
      <c r="E4" s="5" t="s">
        <v>11</v>
      </c>
      <c r="F4" s="6">
        <f t="shared" si="1"/>
        <v>12.88114499</v>
      </c>
      <c r="G4" s="7">
        <f t="shared" ref="G4:G49" si="3">D4/ SUMIFS($D:$D,$A:$A, A4,$B:$B,B4)*100</f>
        <v>17.48307351</v>
      </c>
      <c r="H4" s="8">
        <f t="shared" si="2"/>
        <v>12856</v>
      </c>
      <c r="I4" s="9">
        <f t="shared" ref="I4:I49" si="4">DATE(B4, MATCH(A4, {"January","Febuary","March","April","May","June","July","August","September","October","November","December"},0),1)</f>
        <v>45809</v>
      </c>
    </row>
    <row r="5" ht="22.5" customHeight="1">
      <c r="A5" s="3" t="s">
        <v>14</v>
      </c>
      <c r="B5" s="4">
        <v>2025.0</v>
      </c>
      <c r="C5" s="3" t="s">
        <v>10</v>
      </c>
      <c r="D5" s="5">
        <v>16252.0</v>
      </c>
      <c r="E5" s="5" t="s">
        <v>11</v>
      </c>
      <c r="F5" s="6">
        <f t="shared" si="1"/>
        <v>11.99007718</v>
      </c>
      <c r="G5" s="7">
        <f t="shared" si="3"/>
        <v>21.38421053</v>
      </c>
      <c r="H5" s="8">
        <f t="shared" si="2"/>
        <v>14512</v>
      </c>
      <c r="I5" s="9">
        <f t="shared" si="4"/>
        <v>45839</v>
      </c>
    </row>
    <row r="6" ht="22.5" customHeight="1">
      <c r="A6" s="3" t="s">
        <v>15</v>
      </c>
      <c r="B6" s="4">
        <v>2025.0</v>
      </c>
      <c r="C6" s="3" t="s">
        <v>10</v>
      </c>
      <c r="D6" s="5">
        <v>17856.0</v>
      </c>
      <c r="E6" s="5" t="s">
        <v>11</v>
      </c>
      <c r="F6" s="6">
        <f t="shared" si="1"/>
        <v>9.869554516</v>
      </c>
      <c r="G6" s="7">
        <f t="shared" si="3"/>
        <v>24.57980591</v>
      </c>
      <c r="H6" s="8">
        <f t="shared" si="2"/>
        <v>16252</v>
      </c>
      <c r="I6" s="9">
        <f t="shared" si="4"/>
        <v>45870</v>
      </c>
    </row>
    <row r="7" ht="22.5" customHeight="1">
      <c r="A7" s="3" t="s">
        <v>16</v>
      </c>
      <c r="B7" s="4">
        <v>2025.0</v>
      </c>
      <c r="C7" s="3" t="s">
        <v>10</v>
      </c>
      <c r="D7" s="5">
        <v>15500.0</v>
      </c>
      <c r="E7" s="5" t="s">
        <v>11</v>
      </c>
      <c r="F7" s="6">
        <f t="shared" si="1"/>
        <v>-13.19444444</v>
      </c>
      <c r="G7" s="7">
        <f t="shared" si="3"/>
        <v>21.85530379</v>
      </c>
      <c r="H7" s="8">
        <f t="shared" si="2"/>
        <v>17856</v>
      </c>
      <c r="I7" s="9">
        <f t="shared" si="4"/>
        <v>45901</v>
      </c>
    </row>
    <row r="8" ht="22.5" customHeight="1">
      <c r="A8" s="3" t="s">
        <v>17</v>
      </c>
      <c r="B8" s="4">
        <v>2025.0</v>
      </c>
      <c r="C8" s="3" t="s">
        <v>10</v>
      </c>
      <c r="D8" s="5">
        <v>26800.0</v>
      </c>
      <c r="E8" s="5" t="s">
        <v>11</v>
      </c>
      <c r="F8" s="6">
        <f t="shared" si="1"/>
        <v>72.90322581</v>
      </c>
      <c r="G8" s="7">
        <f t="shared" si="3"/>
        <v>25.89722281</v>
      </c>
      <c r="H8" s="8">
        <f t="shared" si="2"/>
        <v>15500</v>
      </c>
      <c r="I8" s="9">
        <f t="shared" si="4"/>
        <v>45931</v>
      </c>
    </row>
    <row r="9" ht="22.5" customHeight="1">
      <c r="A9" s="3" t="s">
        <v>18</v>
      </c>
      <c r="B9" s="4">
        <v>2025.0</v>
      </c>
      <c r="C9" s="3" t="s">
        <v>10</v>
      </c>
      <c r="D9" s="5">
        <v>20324.0</v>
      </c>
      <c r="E9" s="5" t="s">
        <v>11</v>
      </c>
      <c r="F9" s="6">
        <f t="shared" si="1"/>
        <v>-24.1641791</v>
      </c>
      <c r="G9" s="7">
        <f t="shared" si="3"/>
        <v>24.47701516</v>
      </c>
      <c r="H9" s="8">
        <f t="shared" si="2"/>
        <v>26800</v>
      </c>
      <c r="I9" s="9">
        <f t="shared" si="4"/>
        <v>45962</v>
      </c>
    </row>
    <row r="10" ht="22.5" customHeight="1">
      <c r="A10" s="3" t="s">
        <v>19</v>
      </c>
      <c r="B10" s="4">
        <v>2025.0</v>
      </c>
      <c r="C10" s="3" t="s">
        <v>10</v>
      </c>
      <c r="D10" s="5">
        <v>17052.0</v>
      </c>
      <c r="E10" s="5" t="s">
        <v>11</v>
      </c>
      <c r="F10" s="6">
        <f t="shared" si="1"/>
        <v>-16.09919307</v>
      </c>
      <c r="G10" s="7">
        <f t="shared" si="3"/>
        <v>24.64909871</v>
      </c>
      <c r="H10" s="8">
        <f t="shared" si="2"/>
        <v>20324</v>
      </c>
      <c r="I10" s="9">
        <f t="shared" si="4"/>
        <v>45992</v>
      </c>
    </row>
    <row r="11" ht="22.5" customHeight="1">
      <c r="A11" s="3" t="s">
        <v>20</v>
      </c>
      <c r="B11" s="4">
        <v>2026.0</v>
      </c>
      <c r="C11" s="3" t="s">
        <v>10</v>
      </c>
      <c r="D11" s="5">
        <v>21900.0</v>
      </c>
      <c r="E11" s="5" t="s">
        <v>11</v>
      </c>
      <c r="F11" s="6">
        <f t="shared" si="1"/>
        <v>28.43068262</v>
      </c>
      <c r="G11" s="7">
        <f t="shared" si="3"/>
        <v>24.35904566</v>
      </c>
      <c r="H11" s="8">
        <f t="shared" si="2"/>
        <v>17052</v>
      </c>
      <c r="I11" s="9">
        <f t="shared" si="4"/>
        <v>46023</v>
      </c>
    </row>
    <row r="12" ht="22.5" customHeight="1">
      <c r="A12" s="3" t="s">
        <v>21</v>
      </c>
      <c r="B12" s="4">
        <v>2026.0</v>
      </c>
      <c r="C12" s="3" t="s">
        <v>10</v>
      </c>
      <c r="D12" s="5">
        <v>20584.0</v>
      </c>
      <c r="E12" s="5" t="s">
        <v>11</v>
      </c>
      <c r="F12" s="6">
        <f t="shared" si="1"/>
        <v>-6.00913242</v>
      </c>
      <c r="G12" s="7">
        <f t="shared" si="3"/>
        <v>23.92042021</v>
      </c>
      <c r="H12" s="8">
        <f t="shared" si="2"/>
        <v>21900</v>
      </c>
      <c r="I12" s="9">
        <f t="shared" si="4"/>
        <v>46054</v>
      </c>
    </row>
    <row r="13" ht="22.5" customHeight="1">
      <c r="A13" s="3" t="s">
        <v>22</v>
      </c>
      <c r="B13" s="4">
        <v>2026.0</v>
      </c>
      <c r="C13" s="3" t="s">
        <v>10</v>
      </c>
      <c r="D13" s="5">
        <v>35700.0</v>
      </c>
      <c r="E13" s="5" t="s">
        <v>11</v>
      </c>
      <c r="F13" s="6">
        <f t="shared" si="1"/>
        <v>73.4356782</v>
      </c>
      <c r="G13" s="7">
        <f t="shared" si="3"/>
        <v>27.87690434</v>
      </c>
      <c r="H13" s="8">
        <f t="shared" si="2"/>
        <v>20584</v>
      </c>
      <c r="I13" s="9">
        <f t="shared" si="4"/>
        <v>46082</v>
      </c>
    </row>
    <row r="14" ht="22.5" customHeight="1">
      <c r="A14" s="3" t="s">
        <v>9</v>
      </c>
      <c r="B14" s="4">
        <v>2025.0</v>
      </c>
      <c r="C14" s="3" t="s">
        <v>23</v>
      </c>
      <c r="D14" s="5">
        <v>19000.0</v>
      </c>
      <c r="E14" s="5" t="s">
        <v>11</v>
      </c>
      <c r="F14" s="6" t="str">
        <f t="shared" si="1"/>
        <v/>
      </c>
      <c r="G14" s="7">
        <f t="shared" si="3"/>
        <v>26.53186617</v>
      </c>
      <c r="H14" s="8" t="str">
        <f t="shared" si="2"/>
        <v/>
      </c>
      <c r="I14" s="9">
        <f t="shared" si="4"/>
        <v>45748</v>
      </c>
    </row>
    <row r="15" ht="22.5" customHeight="1">
      <c r="A15" s="3" t="s">
        <v>24</v>
      </c>
      <c r="B15" s="4">
        <v>2025.0</v>
      </c>
      <c r="C15" s="3" t="s">
        <v>23</v>
      </c>
      <c r="D15" s="5">
        <v>21000.0</v>
      </c>
      <c r="E15" s="5" t="s">
        <v>11</v>
      </c>
      <c r="F15" s="6">
        <f t="shared" si="1"/>
        <v>10.52631579</v>
      </c>
      <c r="G15" s="7">
        <f t="shared" si="3"/>
        <v>32.78074365</v>
      </c>
      <c r="H15" s="8">
        <f t="shared" si="2"/>
        <v>19000</v>
      </c>
      <c r="I15" s="9">
        <f t="shared" si="4"/>
        <v>45778</v>
      </c>
    </row>
    <row r="16" ht="22.5" customHeight="1">
      <c r="A16" s="3" t="s">
        <v>13</v>
      </c>
      <c r="B16" s="4">
        <v>2025.0</v>
      </c>
      <c r="C16" s="3" t="s">
        <v>23</v>
      </c>
      <c r="D16" s="5">
        <v>23020.0</v>
      </c>
      <c r="E16" s="5" t="s">
        <v>11</v>
      </c>
      <c r="F16" s="6">
        <f t="shared" si="1"/>
        <v>9.619047619</v>
      </c>
      <c r="G16" s="7">
        <f t="shared" si="3"/>
        <v>27.73293497</v>
      </c>
      <c r="H16" s="8">
        <f t="shared" si="2"/>
        <v>21000</v>
      </c>
      <c r="I16" s="9">
        <f t="shared" si="4"/>
        <v>45809</v>
      </c>
    </row>
    <row r="17" ht="22.5" customHeight="1">
      <c r="A17" s="3" t="s">
        <v>14</v>
      </c>
      <c r="B17" s="4">
        <v>2025.0</v>
      </c>
      <c r="C17" s="3" t="s">
        <v>23</v>
      </c>
      <c r="D17" s="5">
        <v>19650.0</v>
      </c>
      <c r="E17" s="5" t="s">
        <v>11</v>
      </c>
      <c r="F17" s="6">
        <f t="shared" si="1"/>
        <v>-14.63944396</v>
      </c>
      <c r="G17" s="7">
        <f t="shared" si="3"/>
        <v>25.85526316</v>
      </c>
      <c r="H17" s="8">
        <f t="shared" si="2"/>
        <v>23020</v>
      </c>
      <c r="I17" s="9">
        <f t="shared" si="4"/>
        <v>45839</v>
      </c>
    </row>
    <row r="18" ht="22.5" customHeight="1">
      <c r="A18" s="3" t="s">
        <v>15</v>
      </c>
      <c r="B18" s="4">
        <v>2025.0</v>
      </c>
      <c r="C18" s="3" t="s">
        <v>23</v>
      </c>
      <c r="D18" s="5">
        <v>11730.0</v>
      </c>
      <c r="E18" s="5" t="s">
        <v>11</v>
      </c>
      <c r="F18" s="6">
        <f t="shared" si="1"/>
        <v>-40.30534351</v>
      </c>
      <c r="G18" s="7">
        <f t="shared" si="3"/>
        <v>16.14701631</v>
      </c>
      <c r="H18" s="8">
        <f t="shared" si="2"/>
        <v>19650</v>
      </c>
      <c r="I18" s="9">
        <f t="shared" si="4"/>
        <v>45870</v>
      </c>
    </row>
    <row r="19" ht="22.5" customHeight="1">
      <c r="A19" s="3" t="s">
        <v>16</v>
      </c>
      <c r="B19" s="4">
        <v>2025.0</v>
      </c>
      <c r="C19" s="3" t="s">
        <v>23</v>
      </c>
      <c r="D19" s="5">
        <v>19554.0</v>
      </c>
      <c r="E19" s="5" t="s">
        <v>11</v>
      </c>
      <c r="F19" s="6">
        <f t="shared" si="1"/>
        <v>66.70076726</v>
      </c>
      <c r="G19" s="7">
        <f t="shared" si="3"/>
        <v>27.57152324</v>
      </c>
      <c r="H19" s="8">
        <f t="shared" si="2"/>
        <v>11730</v>
      </c>
      <c r="I19" s="9">
        <f t="shared" si="4"/>
        <v>45901</v>
      </c>
    </row>
    <row r="20" ht="22.5" customHeight="1">
      <c r="A20" s="3" t="s">
        <v>17</v>
      </c>
      <c r="B20" s="4">
        <v>2025.0</v>
      </c>
      <c r="C20" s="3" t="s">
        <v>23</v>
      </c>
      <c r="D20" s="5">
        <v>31168.0</v>
      </c>
      <c r="E20" s="5" t="s">
        <v>11</v>
      </c>
      <c r="F20" s="6">
        <f t="shared" si="1"/>
        <v>59.39449729</v>
      </c>
      <c r="G20" s="7">
        <f t="shared" si="3"/>
        <v>30.11808361</v>
      </c>
      <c r="H20" s="8">
        <f t="shared" si="2"/>
        <v>19554</v>
      </c>
      <c r="I20" s="9">
        <f t="shared" si="4"/>
        <v>45931</v>
      </c>
    </row>
    <row r="21" ht="22.5" customHeight="1">
      <c r="A21" s="3" t="s">
        <v>18</v>
      </c>
      <c r="B21" s="4">
        <v>2025.0</v>
      </c>
      <c r="C21" s="3" t="s">
        <v>23</v>
      </c>
      <c r="D21" s="5">
        <v>24000.0</v>
      </c>
      <c r="E21" s="5" t="s">
        <v>11</v>
      </c>
      <c r="F21" s="6">
        <f t="shared" si="1"/>
        <v>-22.99794661</v>
      </c>
      <c r="G21" s="7">
        <f t="shared" si="3"/>
        <v>28.90417063</v>
      </c>
      <c r="H21" s="8">
        <f t="shared" si="2"/>
        <v>31168</v>
      </c>
      <c r="I21" s="9">
        <f t="shared" si="4"/>
        <v>45962</v>
      </c>
    </row>
    <row r="22" ht="22.5" customHeight="1">
      <c r="A22" s="3" t="s">
        <v>19</v>
      </c>
      <c r="B22" s="4">
        <v>2025.0</v>
      </c>
      <c r="C22" s="3" t="s">
        <v>23</v>
      </c>
      <c r="D22" s="5">
        <v>18790.0</v>
      </c>
      <c r="E22" s="5" t="s">
        <v>11</v>
      </c>
      <c r="F22" s="6">
        <f t="shared" si="1"/>
        <v>-21.70833333</v>
      </c>
      <c r="G22" s="7">
        <f t="shared" si="3"/>
        <v>27.16142182</v>
      </c>
      <c r="H22" s="8">
        <f t="shared" si="2"/>
        <v>24000</v>
      </c>
      <c r="I22" s="9">
        <f t="shared" si="4"/>
        <v>45992</v>
      </c>
    </row>
    <row r="23" ht="22.5" customHeight="1">
      <c r="A23" s="3" t="s">
        <v>20</v>
      </c>
      <c r="B23" s="4">
        <v>2026.0</v>
      </c>
      <c r="C23" s="3" t="s">
        <v>23</v>
      </c>
      <c r="D23" s="5">
        <v>25505.0</v>
      </c>
      <c r="E23" s="5" t="s">
        <v>11</v>
      </c>
      <c r="F23" s="6">
        <f t="shared" si="1"/>
        <v>35.7370942</v>
      </c>
      <c r="G23" s="7">
        <f t="shared" si="3"/>
        <v>28.36883377</v>
      </c>
      <c r="H23" s="8">
        <f t="shared" si="2"/>
        <v>18790</v>
      </c>
      <c r="I23" s="9">
        <f t="shared" si="4"/>
        <v>46023</v>
      </c>
    </row>
    <row r="24" ht="22.5" customHeight="1">
      <c r="A24" s="3" t="s">
        <v>21</v>
      </c>
      <c r="B24" s="4">
        <v>2026.0</v>
      </c>
      <c r="C24" s="3" t="s">
        <v>23</v>
      </c>
      <c r="D24" s="5">
        <v>25500.0</v>
      </c>
      <c r="E24" s="5" t="s">
        <v>11</v>
      </c>
      <c r="F24" s="6">
        <f t="shared" si="1"/>
        <v>-0.01960399922</v>
      </c>
      <c r="G24" s="7">
        <f t="shared" si="3"/>
        <v>29.63324501</v>
      </c>
      <c r="H24" s="8">
        <f t="shared" si="2"/>
        <v>25505</v>
      </c>
      <c r="I24" s="9">
        <f t="shared" si="4"/>
        <v>46054</v>
      </c>
    </row>
    <row r="25" ht="22.5" customHeight="1">
      <c r="A25" s="3" t="s">
        <v>22</v>
      </c>
      <c r="B25" s="4">
        <v>2026.0</v>
      </c>
      <c r="C25" s="3" t="s">
        <v>23</v>
      </c>
      <c r="D25" s="5">
        <v>44246.0</v>
      </c>
      <c r="E25" s="5" t="s">
        <v>11</v>
      </c>
      <c r="F25" s="6">
        <f t="shared" si="1"/>
        <v>73.51372549</v>
      </c>
      <c r="G25" s="7">
        <f t="shared" si="3"/>
        <v>34.55018233</v>
      </c>
      <c r="H25" s="8">
        <f t="shared" si="2"/>
        <v>25500</v>
      </c>
      <c r="I25" s="9">
        <f t="shared" si="4"/>
        <v>46082</v>
      </c>
    </row>
    <row r="26" ht="22.5" customHeight="1">
      <c r="A26" s="3" t="s">
        <v>9</v>
      </c>
      <c r="B26" s="4">
        <v>2025.0</v>
      </c>
      <c r="C26" s="3" t="s">
        <v>25</v>
      </c>
      <c r="D26" s="5">
        <v>19709.0</v>
      </c>
      <c r="E26" s="5" t="s">
        <v>11</v>
      </c>
      <c r="F26" s="7" t="str">
        <f t="shared" si="1"/>
        <v/>
      </c>
      <c r="G26" s="7">
        <f t="shared" si="3"/>
        <v>27.5219237</v>
      </c>
      <c r="H26" s="8" t="str">
        <f t="shared" si="2"/>
        <v/>
      </c>
      <c r="I26" s="9">
        <f t="shared" si="4"/>
        <v>45748</v>
      </c>
    </row>
    <row r="27" ht="22.5" customHeight="1">
      <c r="A27" s="3" t="s">
        <v>24</v>
      </c>
      <c r="B27" s="4">
        <v>2025.0</v>
      </c>
      <c r="C27" s="3" t="s">
        <v>25</v>
      </c>
      <c r="D27" s="5">
        <v>18500.0</v>
      </c>
      <c r="E27" s="5" t="s">
        <v>11</v>
      </c>
      <c r="F27" s="6">
        <f t="shared" si="1"/>
        <v>-6.134253387</v>
      </c>
      <c r="G27" s="7">
        <f t="shared" si="3"/>
        <v>28.87827417</v>
      </c>
      <c r="H27" s="8">
        <f t="shared" si="2"/>
        <v>19709</v>
      </c>
      <c r="I27" s="9">
        <f t="shared" si="4"/>
        <v>45778</v>
      </c>
    </row>
    <row r="28" ht="22.5" customHeight="1">
      <c r="A28" s="3" t="s">
        <v>13</v>
      </c>
      <c r="B28" s="4">
        <v>2025.0</v>
      </c>
      <c r="C28" s="3" t="s">
        <v>25</v>
      </c>
      <c r="D28" s="5">
        <v>20189.0</v>
      </c>
      <c r="E28" s="5" t="s">
        <v>11</v>
      </c>
      <c r="F28" s="6">
        <f t="shared" si="1"/>
        <v>9.12972973</v>
      </c>
      <c r="G28" s="7">
        <f t="shared" si="3"/>
        <v>24.32233814</v>
      </c>
      <c r="H28" s="8">
        <f t="shared" si="2"/>
        <v>18500</v>
      </c>
      <c r="I28" s="9">
        <f t="shared" si="4"/>
        <v>45809</v>
      </c>
    </row>
    <row r="29" ht="22.5" customHeight="1">
      <c r="A29" s="3" t="s">
        <v>14</v>
      </c>
      <c r="B29" s="4">
        <v>2025.0</v>
      </c>
      <c r="C29" s="3" t="s">
        <v>25</v>
      </c>
      <c r="D29" s="5">
        <v>17848.0</v>
      </c>
      <c r="E29" s="5" t="s">
        <v>11</v>
      </c>
      <c r="F29" s="6">
        <f t="shared" si="1"/>
        <v>-11.59542325</v>
      </c>
      <c r="G29" s="7">
        <f t="shared" si="3"/>
        <v>23.48421053</v>
      </c>
      <c r="H29" s="8">
        <f t="shared" si="2"/>
        <v>20189</v>
      </c>
      <c r="I29" s="9">
        <f t="shared" si="4"/>
        <v>45839</v>
      </c>
    </row>
    <row r="30" ht="22.5" customHeight="1">
      <c r="A30" s="3" t="s">
        <v>15</v>
      </c>
      <c r="B30" s="4">
        <v>2025.0</v>
      </c>
      <c r="C30" s="3" t="s">
        <v>25</v>
      </c>
      <c r="D30" s="5">
        <v>18972.0</v>
      </c>
      <c r="E30" s="5" t="s">
        <v>11</v>
      </c>
      <c r="F30" s="6">
        <f t="shared" si="1"/>
        <v>6.297624384</v>
      </c>
      <c r="G30" s="7">
        <f t="shared" si="3"/>
        <v>26.11604377</v>
      </c>
      <c r="H30" s="8">
        <f t="shared" si="2"/>
        <v>17848</v>
      </c>
      <c r="I30" s="9">
        <f t="shared" si="4"/>
        <v>45870</v>
      </c>
    </row>
    <row r="31" ht="22.5" customHeight="1">
      <c r="A31" s="3" t="s">
        <v>16</v>
      </c>
      <c r="B31" s="4">
        <v>2025.0</v>
      </c>
      <c r="C31" s="3" t="s">
        <v>25</v>
      </c>
      <c r="D31" s="5">
        <v>13376.0</v>
      </c>
      <c r="E31" s="5" t="s">
        <v>11</v>
      </c>
      <c r="F31" s="6">
        <f t="shared" si="1"/>
        <v>-29.49609952</v>
      </c>
      <c r="G31" s="7">
        <f t="shared" si="3"/>
        <v>18.86042216</v>
      </c>
      <c r="H31" s="8">
        <f t="shared" si="2"/>
        <v>18972</v>
      </c>
      <c r="I31" s="9">
        <f t="shared" si="4"/>
        <v>45901</v>
      </c>
    </row>
    <row r="32" ht="22.5" customHeight="1">
      <c r="A32" s="3" t="s">
        <v>17</v>
      </c>
      <c r="B32" s="4">
        <v>2025.0</v>
      </c>
      <c r="C32" s="3" t="s">
        <v>25</v>
      </c>
      <c r="D32" s="5">
        <v>16034.0</v>
      </c>
      <c r="E32" s="5" t="s">
        <v>11</v>
      </c>
      <c r="F32" s="6">
        <f t="shared" si="1"/>
        <v>19.87141148</v>
      </c>
      <c r="G32" s="7">
        <f t="shared" si="3"/>
        <v>15.49388323</v>
      </c>
      <c r="H32" s="8">
        <f t="shared" si="2"/>
        <v>13376</v>
      </c>
      <c r="I32" s="9">
        <f t="shared" si="4"/>
        <v>45931</v>
      </c>
    </row>
    <row r="33" ht="22.5" customHeight="1">
      <c r="A33" s="3" t="s">
        <v>18</v>
      </c>
      <c r="B33" s="4">
        <v>2025.0</v>
      </c>
      <c r="C33" s="3" t="s">
        <v>25</v>
      </c>
      <c r="D33" s="5">
        <v>8400.0</v>
      </c>
      <c r="E33" s="5" t="s">
        <v>11</v>
      </c>
      <c r="F33" s="6">
        <f t="shared" si="1"/>
        <v>-47.61132593</v>
      </c>
      <c r="G33" s="7">
        <f t="shared" si="3"/>
        <v>10.11645972</v>
      </c>
      <c r="H33" s="8">
        <f t="shared" si="2"/>
        <v>16034</v>
      </c>
      <c r="I33" s="9">
        <f t="shared" si="4"/>
        <v>45962</v>
      </c>
    </row>
    <row r="34" ht="22.5" customHeight="1">
      <c r="A34" s="3" t="s">
        <v>19</v>
      </c>
      <c r="B34" s="4">
        <v>2025.0</v>
      </c>
      <c r="C34" s="3" t="s">
        <v>25</v>
      </c>
      <c r="D34" s="5">
        <v>9020.0</v>
      </c>
      <c r="E34" s="5" t="s">
        <v>11</v>
      </c>
      <c r="F34" s="6">
        <f t="shared" si="1"/>
        <v>7.380952381</v>
      </c>
      <c r="G34" s="7">
        <f t="shared" si="3"/>
        <v>13.03863889</v>
      </c>
      <c r="H34" s="8">
        <f t="shared" si="2"/>
        <v>8400</v>
      </c>
      <c r="I34" s="9">
        <f t="shared" si="4"/>
        <v>45992</v>
      </c>
    </row>
    <row r="35" ht="22.5" customHeight="1">
      <c r="A35" s="3" t="s">
        <v>20</v>
      </c>
      <c r="B35" s="4">
        <v>2026.0</v>
      </c>
      <c r="C35" s="3" t="s">
        <v>25</v>
      </c>
      <c r="D35" s="5">
        <v>7500.0</v>
      </c>
      <c r="E35" s="5" t="s">
        <v>11</v>
      </c>
      <c r="F35" s="6">
        <f t="shared" si="1"/>
        <v>-16.85144124</v>
      </c>
      <c r="G35" s="7">
        <f t="shared" si="3"/>
        <v>8.342138924</v>
      </c>
      <c r="H35" s="8">
        <f t="shared" si="2"/>
        <v>9020</v>
      </c>
      <c r="I35" s="9">
        <f t="shared" si="4"/>
        <v>46023</v>
      </c>
    </row>
    <row r="36" ht="22.5" customHeight="1">
      <c r="A36" s="3" t="s">
        <v>21</v>
      </c>
      <c r="B36" s="4">
        <v>2026.0</v>
      </c>
      <c r="C36" s="3" t="s">
        <v>25</v>
      </c>
      <c r="D36" s="5">
        <v>3968.0</v>
      </c>
      <c r="E36" s="5" t="s">
        <v>11</v>
      </c>
      <c r="F36" s="6">
        <f t="shared" si="1"/>
        <v>-47.09333333</v>
      </c>
      <c r="G36" s="7">
        <f t="shared" si="3"/>
        <v>4.611165342</v>
      </c>
      <c r="H36" s="8">
        <f t="shared" si="2"/>
        <v>7500</v>
      </c>
      <c r="I36" s="9">
        <f t="shared" si="4"/>
        <v>46054</v>
      </c>
    </row>
    <row r="37" ht="22.5" customHeight="1">
      <c r="A37" s="3" t="s">
        <v>22</v>
      </c>
      <c r="B37" s="4">
        <v>2026.0</v>
      </c>
      <c r="C37" s="3" t="s">
        <v>25</v>
      </c>
      <c r="D37" s="5">
        <v>10117.0</v>
      </c>
      <c r="E37" s="5" t="s">
        <v>11</v>
      </c>
      <c r="F37" s="6">
        <f t="shared" si="1"/>
        <v>154.9647177</v>
      </c>
      <c r="G37" s="7">
        <f t="shared" si="3"/>
        <v>7.90001796</v>
      </c>
      <c r="H37" s="8">
        <f t="shared" si="2"/>
        <v>3968</v>
      </c>
      <c r="I37" s="9">
        <f t="shared" si="4"/>
        <v>46082</v>
      </c>
    </row>
    <row r="38" ht="22.5" customHeight="1">
      <c r="A38" s="3" t="s">
        <v>9</v>
      </c>
      <c r="B38" s="4">
        <v>2025.0</v>
      </c>
      <c r="C38" s="3" t="s">
        <v>26</v>
      </c>
      <c r="D38" s="5">
        <v>19736.0</v>
      </c>
      <c r="E38" s="5" t="s">
        <v>11</v>
      </c>
      <c r="F38" s="6" t="str">
        <f t="shared" si="1"/>
        <v/>
      </c>
      <c r="G38" s="7">
        <f t="shared" si="3"/>
        <v>27.55962688</v>
      </c>
      <c r="H38" s="8" t="str">
        <f t="shared" si="2"/>
        <v/>
      </c>
      <c r="I38" s="9">
        <f t="shared" si="4"/>
        <v>45748</v>
      </c>
    </row>
    <row r="39" ht="22.5" customHeight="1">
      <c r="A39" s="3" t="s">
        <v>24</v>
      </c>
      <c r="B39" s="4">
        <v>2025.0</v>
      </c>
      <c r="C39" s="3" t="s">
        <v>26</v>
      </c>
      <c r="D39" s="5">
        <v>24562.0</v>
      </c>
      <c r="E39" s="5" t="s">
        <v>11</v>
      </c>
      <c r="F39" s="6">
        <f t="shared" si="1"/>
        <v>24.45277665</v>
      </c>
      <c r="G39" s="7">
        <f t="shared" si="3"/>
        <v>38.34098217</v>
      </c>
      <c r="H39" s="8">
        <f t="shared" si="2"/>
        <v>19736</v>
      </c>
      <c r="I39" s="9">
        <f t="shared" si="4"/>
        <v>45778</v>
      </c>
    </row>
    <row r="40" ht="22.5" customHeight="1">
      <c r="A40" s="3" t="s">
        <v>13</v>
      </c>
      <c r="B40" s="4">
        <v>2025.0</v>
      </c>
      <c r="C40" s="3" t="s">
        <v>26</v>
      </c>
      <c r="D40" s="5">
        <v>25285.0</v>
      </c>
      <c r="E40" s="5" t="s">
        <v>11</v>
      </c>
      <c r="F40" s="6">
        <f t="shared" si="1"/>
        <v>2.94357137</v>
      </c>
      <c r="G40" s="7">
        <f t="shared" si="3"/>
        <v>30.46165337</v>
      </c>
      <c r="H40" s="8">
        <f t="shared" si="2"/>
        <v>24562</v>
      </c>
      <c r="I40" s="9">
        <f t="shared" si="4"/>
        <v>45809</v>
      </c>
    </row>
    <row r="41" ht="22.5" customHeight="1">
      <c r="A41" s="3" t="s">
        <v>14</v>
      </c>
      <c r="B41" s="4">
        <v>2025.0</v>
      </c>
      <c r="C41" s="3" t="s">
        <v>26</v>
      </c>
      <c r="D41" s="5">
        <v>22250.0</v>
      </c>
      <c r="E41" s="5" t="s">
        <v>11</v>
      </c>
      <c r="F41" s="6">
        <f t="shared" si="1"/>
        <v>-12.00316393</v>
      </c>
      <c r="G41" s="7">
        <f t="shared" si="3"/>
        <v>29.27631579</v>
      </c>
      <c r="H41" s="8">
        <f t="shared" si="2"/>
        <v>25285</v>
      </c>
      <c r="I41" s="9">
        <f t="shared" si="4"/>
        <v>45839</v>
      </c>
    </row>
    <row r="42" ht="22.5" customHeight="1">
      <c r="A42" s="3" t="s">
        <v>15</v>
      </c>
      <c r="B42" s="4">
        <v>2025.0</v>
      </c>
      <c r="C42" s="3" t="s">
        <v>26</v>
      </c>
      <c r="D42" s="5">
        <v>24087.0</v>
      </c>
      <c r="E42" s="5" t="s">
        <v>11</v>
      </c>
      <c r="F42" s="6">
        <f t="shared" si="1"/>
        <v>8.256179775</v>
      </c>
      <c r="G42" s="7">
        <f t="shared" si="3"/>
        <v>33.15713401</v>
      </c>
      <c r="H42" s="8">
        <f t="shared" si="2"/>
        <v>22250</v>
      </c>
      <c r="I42" s="9">
        <f t="shared" si="4"/>
        <v>45870</v>
      </c>
    </row>
    <row r="43" ht="22.5" customHeight="1">
      <c r="A43" s="3" t="s">
        <v>16</v>
      </c>
      <c r="B43" s="4">
        <v>2025.0</v>
      </c>
      <c r="C43" s="3" t="s">
        <v>26</v>
      </c>
      <c r="D43" s="5">
        <v>22491.0</v>
      </c>
      <c r="E43" s="5" t="s">
        <v>11</v>
      </c>
      <c r="F43" s="6">
        <f t="shared" si="1"/>
        <v>-6.62598082</v>
      </c>
      <c r="G43" s="7">
        <f t="shared" si="3"/>
        <v>31.71275081</v>
      </c>
      <c r="H43" s="8">
        <f t="shared" si="2"/>
        <v>24087</v>
      </c>
      <c r="I43" s="9">
        <f t="shared" si="4"/>
        <v>45901</v>
      </c>
    </row>
    <row r="44" ht="22.5" customHeight="1">
      <c r="A44" s="3" t="s">
        <v>17</v>
      </c>
      <c r="B44" s="4">
        <v>2025.0</v>
      </c>
      <c r="C44" s="3" t="s">
        <v>26</v>
      </c>
      <c r="D44" s="5">
        <v>29484.0</v>
      </c>
      <c r="E44" s="5" t="s">
        <v>11</v>
      </c>
      <c r="F44" s="6">
        <f t="shared" si="1"/>
        <v>31.09243697</v>
      </c>
      <c r="G44" s="7">
        <f t="shared" si="3"/>
        <v>28.49081035</v>
      </c>
      <c r="H44" s="8">
        <f t="shared" si="2"/>
        <v>22491</v>
      </c>
      <c r="I44" s="9">
        <f t="shared" si="4"/>
        <v>45931</v>
      </c>
    </row>
    <row r="45" ht="22.5" customHeight="1">
      <c r="A45" s="3" t="s">
        <v>18</v>
      </c>
      <c r="B45" s="4">
        <v>2025.0</v>
      </c>
      <c r="C45" s="3" t="s">
        <v>26</v>
      </c>
      <c r="D45" s="5">
        <v>30309.0</v>
      </c>
      <c r="E45" s="5" t="s">
        <v>11</v>
      </c>
      <c r="F45" s="6">
        <f t="shared" si="1"/>
        <v>2.798127798</v>
      </c>
      <c r="G45" s="7">
        <f t="shared" si="3"/>
        <v>36.50235449</v>
      </c>
      <c r="H45" s="8">
        <f t="shared" si="2"/>
        <v>29484</v>
      </c>
      <c r="I45" s="9">
        <f t="shared" si="4"/>
        <v>45962</v>
      </c>
    </row>
    <row r="46" ht="22.5" customHeight="1">
      <c r="A46" s="3" t="s">
        <v>19</v>
      </c>
      <c r="B46" s="4">
        <v>2025.0</v>
      </c>
      <c r="C46" s="3" t="s">
        <v>26</v>
      </c>
      <c r="D46" s="5">
        <v>24317.0</v>
      </c>
      <c r="E46" s="5" t="s">
        <v>11</v>
      </c>
      <c r="F46" s="6">
        <f t="shared" si="1"/>
        <v>-19.76970537</v>
      </c>
      <c r="G46" s="7">
        <f t="shared" si="3"/>
        <v>35.15084057</v>
      </c>
      <c r="H46" s="8">
        <f t="shared" si="2"/>
        <v>30309</v>
      </c>
      <c r="I46" s="9">
        <f t="shared" si="4"/>
        <v>45992</v>
      </c>
    </row>
    <row r="47" ht="22.5" customHeight="1">
      <c r="A47" s="3" t="s">
        <v>20</v>
      </c>
      <c r="B47" s="4">
        <v>2026.0</v>
      </c>
      <c r="C47" s="3" t="s">
        <v>26</v>
      </c>
      <c r="D47" s="5">
        <v>35000.0</v>
      </c>
      <c r="E47" s="5" t="s">
        <v>11</v>
      </c>
      <c r="F47" s="6">
        <f t="shared" si="1"/>
        <v>43.93222848</v>
      </c>
      <c r="G47" s="7">
        <f t="shared" si="3"/>
        <v>38.92998165</v>
      </c>
      <c r="H47" s="8">
        <f t="shared" si="2"/>
        <v>24317</v>
      </c>
      <c r="I47" s="9">
        <f t="shared" si="4"/>
        <v>46023</v>
      </c>
    </row>
    <row r="48" ht="22.5" customHeight="1">
      <c r="A48" s="3" t="s">
        <v>21</v>
      </c>
      <c r="B48" s="4">
        <v>2026.0</v>
      </c>
      <c r="C48" s="3" t="s">
        <v>26</v>
      </c>
      <c r="D48" s="5">
        <v>36000.0</v>
      </c>
      <c r="E48" s="5" t="s">
        <v>11</v>
      </c>
      <c r="F48" s="6">
        <f t="shared" si="1"/>
        <v>2.857142857</v>
      </c>
      <c r="G48" s="7">
        <f t="shared" si="3"/>
        <v>41.83516943</v>
      </c>
      <c r="H48" s="8">
        <f t="shared" si="2"/>
        <v>35000</v>
      </c>
      <c r="I48" s="9">
        <f t="shared" si="4"/>
        <v>46054</v>
      </c>
    </row>
    <row r="49" ht="22.5" customHeight="1">
      <c r="A49" s="3" t="s">
        <v>22</v>
      </c>
      <c r="B49" s="4">
        <v>2026.0</v>
      </c>
      <c r="C49" s="3" t="s">
        <v>26</v>
      </c>
      <c r="D49" s="5">
        <v>38000.0</v>
      </c>
      <c r="E49" s="5" t="s">
        <v>11</v>
      </c>
      <c r="F49" s="6">
        <f t="shared" si="1"/>
        <v>5.555555556</v>
      </c>
      <c r="G49" s="7">
        <f t="shared" si="3"/>
        <v>29.67289537</v>
      </c>
      <c r="H49" s="8">
        <f t="shared" si="2"/>
        <v>36000</v>
      </c>
      <c r="I49" s="9">
        <f t="shared" si="4"/>
        <v>46082</v>
      </c>
    </row>
  </sheetData>
  <conditionalFormatting sqref="F2:F49">
    <cfRule type="cellIs" dxfId="5" priority="1" operator="greaterThan">
      <formula>0</formula>
    </cfRule>
  </conditionalFormatting>
  <conditionalFormatting sqref="F2:F49">
    <cfRule type="cellIs" dxfId="6" priority="2" operator="lessThan">
      <formula>0</formula>
    </cfRule>
  </conditionalFormatting>
  <dataValidations>
    <dataValidation type="list" allowBlank="1" showDropDown="1" showErrorMessage="1" sqref="C2:C49">
      <formula1>"Ola Electric,Arther,Bajaj,Tvs"</formula1>
    </dataValidation>
    <dataValidation type="custom" allowBlank="1" showDropDown="1" sqref="B2:B49">
      <formula1>AND(ISNUMBER(B2),(NOT(OR(NOT(ISERROR(DATEVALUE(B2))), AND(ISNUMBER(B2), LEFT(CELL("format", B2))="D")))))</formula1>
    </dataValidation>
    <dataValidation type="list" allowBlank="1" showDropDown="1" showErrorMessage="1" sqref="A2:A49">
      <formula1>"April,May,May ,June,July,August,September,October,November,December,January,Febuary,March"</formula1>
    </dataValidation>
  </dataValidations>
  <printOptions gridLines="1" horizontalCentered="1"/>
  <pageMargins bottom="0.75" footer="0.0" header="0.0" left="0.7" right="0.7" top="0.75"/>
  <pageSetup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3.38"/>
    <col customWidth="1" min="4" max="4" width="17.13"/>
    <col customWidth="1" min="6" max="6" width="17.38"/>
  </cols>
  <sheetData>
    <row r="1" ht="22.5" customHeight="1">
      <c r="A1" s="11" t="s">
        <v>8</v>
      </c>
      <c r="B1" s="11" t="s">
        <v>27</v>
      </c>
      <c r="C1" s="11" t="s">
        <v>23</v>
      </c>
      <c r="D1" s="11" t="s">
        <v>25</v>
      </c>
      <c r="E1" s="11" t="s">
        <v>26</v>
      </c>
      <c r="F1" s="11" t="s">
        <v>28</v>
      </c>
      <c r="G1" s="11" t="s">
        <v>29</v>
      </c>
      <c r="H1" s="11" t="s">
        <v>30</v>
      </c>
      <c r="I1" s="11" t="s">
        <v>31</v>
      </c>
    </row>
    <row r="2" ht="22.5" customHeight="1">
      <c r="A2" s="12">
        <v>45748.0</v>
      </c>
      <c r="B2" s="13">
        <v>13167.0</v>
      </c>
      <c r="C2" s="13">
        <v>19000.0</v>
      </c>
      <c r="D2" s="13">
        <v>19709.0</v>
      </c>
      <c r="E2" s="13">
        <v>19736.0</v>
      </c>
      <c r="F2" s="13">
        <v>71612.0</v>
      </c>
      <c r="G2" s="6">
        <f t="shared" ref="G2:G14" si="1">D2/F2*100</f>
        <v>27.5219237</v>
      </c>
      <c r="H2" s="14"/>
      <c r="I2" s="15">
        <f t="shared" ref="I2:I13" si="2">RANK(D2,$B2:$E2)</f>
        <v>2</v>
      </c>
    </row>
    <row r="3" ht="22.5" customHeight="1">
      <c r="A3" s="12">
        <v>45778.0</v>
      </c>
      <c r="B3" s="13">
        <v>12856.0</v>
      </c>
      <c r="C3" s="13">
        <v>21000.0</v>
      </c>
      <c r="D3" s="13">
        <v>18500.0</v>
      </c>
      <c r="E3" s="13">
        <v>24562.0</v>
      </c>
      <c r="F3" s="13">
        <v>76918.0</v>
      </c>
      <c r="G3" s="6">
        <f t="shared" si="1"/>
        <v>24.0515874</v>
      </c>
      <c r="H3" s="6">
        <f t="shared" ref="H3:H13" si="3">(D3-D2)/D2*100</f>
        <v>-6.134253387</v>
      </c>
      <c r="I3" s="15">
        <f t="shared" si="2"/>
        <v>3</v>
      </c>
    </row>
    <row r="4" ht="22.5" customHeight="1">
      <c r="A4" s="12">
        <v>45809.0</v>
      </c>
      <c r="B4" s="13">
        <v>14512.0</v>
      </c>
      <c r="C4" s="13">
        <v>23020.0</v>
      </c>
      <c r="D4" s="13">
        <v>20189.0</v>
      </c>
      <c r="E4" s="13">
        <v>25285.0</v>
      </c>
      <c r="F4" s="13">
        <v>83006.0</v>
      </c>
      <c r="G4" s="6">
        <f t="shared" si="1"/>
        <v>24.32233814</v>
      </c>
      <c r="H4" s="6">
        <f t="shared" si="3"/>
        <v>9.12972973</v>
      </c>
      <c r="I4" s="15">
        <f t="shared" si="2"/>
        <v>3</v>
      </c>
    </row>
    <row r="5" ht="22.5" customHeight="1">
      <c r="A5" s="12">
        <v>45839.0</v>
      </c>
      <c r="B5" s="13">
        <v>16252.0</v>
      </c>
      <c r="C5" s="13">
        <v>19650.0</v>
      </c>
      <c r="D5" s="13">
        <v>17848.0</v>
      </c>
      <c r="E5" s="13">
        <v>22250.0</v>
      </c>
      <c r="F5" s="13">
        <v>76000.0</v>
      </c>
      <c r="G5" s="6">
        <f t="shared" si="1"/>
        <v>23.48421053</v>
      </c>
      <c r="H5" s="6">
        <f t="shared" si="3"/>
        <v>-11.59542325</v>
      </c>
      <c r="I5" s="15">
        <f t="shared" si="2"/>
        <v>3</v>
      </c>
    </row>
    <row r="6" ht="22.5" customHeight="1">
      <c r="A6" s="12">
        <v>45870.0</v>
      </c>
      <c r="B6" s="13">
        <v>17856.0</v>
      </c>
      <c r="C6" s="13">
        <v>11730.0</v>
      </c>
      <c r="D6" s="13">
        <v>18972.0</v>
      </c>
      <c r="E6" s="13">
        <v>24087.0</v>
      </c>
      <c r="F6" s="13">
        <v>72645.0</v>
      </c>
      <c r="G6" s="6">
        <f t="shared" si="1"/>
        <v>26.11604377</v>
      </c>
      <c r="H6" s="6">
        <f t="shared" si="3"/>
        <v>6.297624384</v>
      </c>
      <c r="I6" s="15">
        <f t="shared" si="2"/>
        <v>2</v>
      </c>
    </row>
    <row r="7" ht="22.5" customHeight="1">
      <c r="A7" s="12">
        <v>45901.0</v>
      </c>
      <c r="B7" s="13">
        <v>15500.0</v>
      </c>
      <c r="C7" s="13">
        <v>19554.0</v>
      </c>
      <c r="D7" s="13">
        <v>13376.0</v>
      </c>
      <c r="E7" s="13">
        <v>22491.0</v>
      </c>
      <c r="F7" s="13">
        <v>70921.0</v>
      </c>
      <c r="G7" s="6">
        <f t="shared" si="1"/>
        <v>18.86042216</v>
      </c>
      <c r="H7" s="6">
        <f t="shared" si="3"/>
        <v>-29.49609952</v>
      </c>
      <c r="I7" s="15">
        <f t="shared" si="2"/>
        <v>4</v>
      </c>
    </row>
    <row r="8" ht="22.5" customHeight="1">
      <c r="A8" s="12">
        <v>45931.0</v>
      </c>
      <c r="B8" s="13">
        <v>26800.0</v>
      </c>
      <c r="C8" s="13">
        <v>31168.0</v>
      </c>
      <c r="D8" s="13">
        <v>16034.0</v>
      </c>
      <c r="E8" s="13">
        <v>29484.0</v>
      </c>
      <c r="F8" s="13">
        <v>103486.0</v>
      </c>
      <c r="G8" s="6">
        <f t="shared" si="1"/>
        <v>15.49388323</v>
      </c>
      <c r="H8" s="6">
        <f t="shared" si="3"/>
        <v>19.87141148</v>
      </c>
      <c r="I8" s="15">
        <f t="shared" si="2"/>
        <v>4</v>
      </c>
    </row>
    <row r="9" ht="22.5" customHeight="1">
      <c r="A9" s="12">
        <v>45962.0</v>
      </c>
      <c r="B9" s="13">
        <v>20324.0</v>
      </c>
      <c r="C9" s="13">
        <v>24000.0</v>
      </c>
      <c r="D9" s="13">
        <v>8400.0</v>
      </c>
      <c r="E9" s="13">
        <v>30309.0</v>
      </c>
      <c r="F9" s="13">
        <v>83033.0</v>
      </c>
      <c r="G9" s="6">
        <f t="shared" si="1"/>
        <v>10.11645972</v>
      </c>
      <c r="H9" s="6">
        <f t="shared" si="3"/>
        <v>-47.61132593</v>
      </c>
      <c r="I9" s="15">
        <f t="shared" si="2"/>
        <v>4</v>
      </c>
    </row>
    <row r="10" ht="22.5" customHeight="1">
      <c r="A10" s="12">
        <v>45992.0</v>
      </c>
      <c r="B10" s="13">
        <v>17052.0</v>
      </c>
      <c r="C10" s="13">
        <v>18790.0</v>
      </c>
      <c r="D10" s="13">
        <v>9020.0</v>
      </c>
      <c r="E10" s="13">
        <v>24317.0</v>
      </c>
      <c r="F10" s="13">
        <v>69179.0</v>
      </c>
      <c r="G10" s="6">
        <f t="shared" si="1"/>
        <v>13.03863889</v>
      </c>
      <c r="H10" s="6">
        <f t="shared" si="3"/>
        <v>7.380952381</v>
      </c>
      <c r="I10" s="15">
        <f t="shared" si="2"/>
        <v>4</v>
      </c>
    </row>
    <row r="11" ht="22.5" customHeight="1">
      <c r="A11" s="12">
        <v>46023.0</v>
      </c>
      <c r="B11" s="13">
        <v>21900.0</v>
      </c>
      <c r="C11" s="13">
        <v>25505.0</v>
      </c>
      <c r="D11" s="13">
        <v>7500.0</v>
      </c>
      <c r="E11" s="13">
        <v>35000.0</v>
      </c>
      <c r="F11" s="13">
        <v>89905.0</v>
      </c>
      <c r="G11" s="6">
        <f t="shared" si="1"/>
        <v>8.342138924</v>
      </c>
      <c r="H11" s="6">
        <f t="shared" si="3"/>
        <v>-16.85144124</v>
      </c>
      <c r="I11" s="15">
        <f t="shared" si="2"/>
        <v>4</v>
      </c>
    </row>
    <row r="12" ht="22.5" customHeight="1">
      <c r="A12" s="12">
        <v>46054.0</v>
      </c>
      <c r="B12" s="13">
        <v>20584.0</v>
      </c>
      <c r="C12" s="13">
        <v>25500.0</v>
      </c>
      <c r="D12" s="13">
        <v>3968.0</v>
      </c>
      <c r="E12" s="13">
        <v>36000.0</v>
      </c>
      <c r="F12" s="13">
        <v>86052.0</v>
      </c>
      <c r="G12" s="6">
        <f t="shared" si="1"/>
        <v>4.611165342</v>
      </c>
      <c r="H12" s="6">
        <f t="shared" si="3"/>
        <v>-47.09333333</v>
      </c>
      <c r="I12" s="15">
        <f t="shared" si="2"/>
        <v>4</v>
      </c>
    </row>
    <row r="13" ht="22.5" customHeight="1">
      <c r="A13" s="12">
        <v>46082.0</v>
      </c>
      <c r="B13" s="13">
        <v>35700.0</v>
      </c>
      <c r="C13" s="13">
        <v>44246.0</v>
      </c>
      <c r="D13" s="13">
        <v>10117.0</v>
      </c>
      <c r="E13" s="13">
        <v>38000.0</v>
      </c>
      <c r="F13" s="13">
        <v>128063.0</v>
      </c>
      <c r="G13" s="6">
        <f t="shared" si="1"/>
        <v>7.90001796</v>
      </c>
      <c r="H13" s="6">
        <f t="shared" si="3"/>
        <v>154.9647177</v>
      </c>
      <c r="I13" s="15">
        <f t="shared" si="2"/>
        <v>4</v>
      </c>
    </row>
    <row r="14" ht="22.5" customHeight="1">
      <c r="A14" s="12" t="s">
        <v>28</v>
      </c>
      <c r="B14" s="13">
        <v>232503.0</v>
      </c>
      <c r="C14" s="13">
        <v>283163.0</v>
      </c>
      <c r="D14" s="13">
        <v>163633.0</v>
      </c>
      <c r="E14" s="13">
        <v>331521.0</v>
      </c>
      <c r="F14" s="13">
        <v>1010820.0</v>
      </c>
      <c r="G14" s="6">
        <f t="shared" si="1"/>
        <v>16.18814428</v>
      </c>
    </row>
  </sheetData>
  <conditionalFormatting sqref="H2:H13">
    <cfRule type="cellIs" dxfId="7" priority="1" operator="lessThan">
      <formula>0</formula>
    </cfRule>
  </conditionalFormatting>
  <conditionalFormatting sqref="H2:H13">
    <cfRule type="cellIs" dxfId="8" priority="2" operator="greaterThan">
      <formula>0</formula>
    </cfRule>
  </conditionalFormatting>
  <dataValidations>
    <dataValidation type="custom" allowBlank="1" showDropDown="1" sqref="A2:A14">
      <formula1>OR(NOT(ISERROR(DATEVALUE(A2))), AND(ISNUMBER(A2), LEFT(CELL("format", A2))="D"))</formula1>
    </dataValidation>
    <dataValidation type="custom" allowBlank="1" showDropDown="1" sqref="B2:F14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13"/>
    <col customWidth="1" min="3" max="3" width="14.88"/>
  </cols>
  <sheetData>
    <row r="1" ht="108.75" customHeight="1">
      <c r="A1" s="16" t="s">
        <v>32</v>
      </c>
    </row>
    <row r="2">
      <c r="A2" s="17" t="s">
        <v>33</v>
      </c>
      <c r="C2" s="17" t="s">
        <v>34</v>
      </c>
      <c r="E2" s="17" t="s">
        <v>35</v>
      </c>
    </row>
    <row r="3">
      <c r="A3" s="18">
        <f>AVERAGE('Ola Share Column'!G2:G13)</f>
        <v>16.98823582</v>
      </c>
      <c r="C3" s="19">
        <f>SUM('Ola Share Column'!D2:D13)</f>
        <v>163633</v>
      </c>
      <c r="E3" s="20">
        <f>MAX('Ola Share Column'!H3:H13)</f>
        <v>154.9647177</v>
      </c>
    </row>
    <row r="25">
      <c r="E25" s="21"/>
    </row>
  </sheetData>
  <drawing r:id="rId1"/>
</worksheet>
</file>